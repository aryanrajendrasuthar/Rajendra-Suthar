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G12" i="1"/>
  <c r="C20"/>
  <c r="C21" s="1"/>
  <c r="G13" l="1"/>
  <c r="C22"/>
</calcChain>
</file>

<file path=xl/sharedStrings.xml><?xml version="1.0" encoding="utf-8"?>
<sst xmlns="http://schemas.openxmlformats.org/spreadsheetml/2006/main" count="63" uniqueCount="61">
  <si>
    <t>Date:</t>
  </si>
  <si>
    <t>To:</t>
  </si>
  <si>
    <t>MEASUREMENT DETAILS</t>
  </si>
  <si>
    <t>DESIGN</t>
  </si>
  <si>
    <t>HEIGHT</t>
  </si>
  <si>
    <t>LENGTH</t>
  </si>
  <si>
    <t>WIDTH</t>
  </si>
  <si>
    <t>AREA</t>
  </si>
  <si>
    <t>SURFACE FACTOR</t>
  </si>
  <si>
    <t>FABRIC AREA</t>
  </si>
  <si>
    <t>TOTAL AREA</t>
  </si>
  <si>
    <t>ESTIMATE COMPARATIVE CHART</t>
  </si>
  <si>
    <t>NO</t>
  </si>
  <si>
    <t>FABRIC</t>
  </si>
  <si>
    <t>LIFE</t>
  </si>
  <si>
    <t>RATE</t>
  </si>
  <si>
    <t>AMOUNT</t>
  </si>
  <si>
    <t>TOTAL AMT</t>
  </si>
  <si>
    <t>SPECIFICATION:</t>
  </si>
  <si>
    <t xml:space="preserve">Site Supervision and Preparation of Concept </t>
  </si>
  <si>
    <t>Design General Architecture Drawings,</t>
  </si>
  <si>
    <t>Structural Detailing,Construction Drawings</t>
  </si>
  <si>
    <t>Supervosion</t>
  </si>
  <si>
    <t xml:space="preserve">Design &amp; </t>
  </si>
  <si>
    <t>(As per availability)</t>
  </si>
  <si>
    <t>Providing Designing,Detailed Engineering,Fabrication,</t>
  </si>
  <si>
    <t>Supply,Eraction and Installation of primery Steel Structure</t>
  </si>
  <si>
    <t>Paint</t>
  </si>
  <si>
    <t>ASIAN ENAMEL</t>
  </si>
  <si>
    <t>Applying 1 Coat of Primer and 2 Coat of Epoxy Paint</t>
  </si>
  <si>
    <t>Colour: As per Selection</t>
  </si>
  <si>
    <t>Fabric</t>
  </si>
  <si>
    <t>PAYMENT TERMS :</t>
  </si>
  <si>
    <t>NOTE:</t>
  </si>
  <si>
    <t>2. Civil Work &amp; Foundation Bolt is in Client Scope</t>
  </si>
  <si>
    <t>4. 3 Phase/1 Phase Electric Connection will have to be provided by you at free of cost at Site.</t>
  </si>
  <si>
    <t>Thanking You,</t>
  </si>
  <si>
    <t>Rajendra Suthar</t>
  </si>
  <si>
    <t>98250 98819</t>
  </si>
  <si>
    <t>GST 18%</t>
  </si>
  <si>
    <r>
      <rPr>
        <b/>
        <sz val="11"/>
        <color rgb="FFFF0000"/>
        <rFont val="Calibri"/>
        <family val="2"/>
        <scheme val="minor"/>
      </rPr>
      <t xml:space="preserve">JAYRAJ </t>
    </r>
    <r>
      <rPr>
        <b/>
        <sz val="11"/>
        <color theme="0" tint="-0.34998626667073579"/>
        <rFont val="Calibri"/>
        <family val="2"/>
        <scheme val="minor"/>
      </rPr>
      <t>FABRICATION</t>
    </r>
  </si>
  <si>
    <t>Appolo/Asian/Jindal</t>
  </si>
  <si>
    <t>10 YEARS</t>
  </si>
  <si>
    <t>M.S.Steel</t>
  </si>
  <si>
    <t>51'-6"</t>
  </si>
  <si>
    <t>52'-6"</t>
  </si>
  <si>
    <t>GALE FABRIC</t>
  </si>
  <si>
    <t xml:space="preserve"> Colour AS PER SELECTION</t>
  </si>
  <si>
    <t>Athwa Lines,Surat.</t>
  </si>
  <si>
    <t xml:space="preserve">SUBJECT: QUOTE FOR TENSILE STRUCTURE </t>
  </si>
  <si>
    <t>PHOENIX ENTERPRISE</t>
  </si>
  <si>
    <t>Architecture College,</t>
  </si>
  <si>
    <t>QUOTE NO:T-013</t>
  </si>
  <si>
    <t>10% Against Steel Delivery</t>
  </si>
  <si>
    <t>15% Against Fabrication + 1 Lakh from Previous Balance</t>
  </si>
  <si>
    <t>15 % Against Erraction of Structure</t>
  </si>
  <si>
    <t>25% Against Fabric Delivery + 1 Lakh From Previous Balance</t>
  </si>
  <si>
    <t xml:space="preserve">20% Against Fabric Fitting </t>
  </si>
  <si>
    <t>15 % Against Completion of Work</t>
  </si>
  <si>
    <t xml:space="preserve">1. Mode of Measurement is Surface Area </t>
  </si>
  <si>
    <t>3. Material Storage will have to be provided by you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</si>
</sst>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Book Antiqua"/>
      <family val="1"/>
    </font>
    <font>
      <b/>
      <sz val="11"/>
      <color rgb="FFFF00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3" xfId="0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/>
    <xf numFmtId="0" fontId="2" fillId="0" borderId="15" xfId="0" applyFont="1" applyBorder="1"/>
    <xf numFmtId="14" fontId="0" fillId="0" borderId="16" xfId="0" applyNumberFormat="1" applyBorder="1" applyAlignment="1">
      <alignment horizontal="left"/>
    </xf>
    <xf numFmtId="0" fontId="1" fillId="0" borderId="0" xfId="0" applyFont="1" applyBorder="1"/>
    <xf numFmtId="0" fontId="3" fillId="0" borderId="15" xfId="0" applyFont="1" applyBorder="1"/>
    <xf numFmtId="0" fontId="3" fillId="0" borderId="0" xfId="0" applyFont="1" applyBorder="1"/>
    <xf numFmtId="0" fontId="3" fillId="0" borderId="16" xfId="0" applyFont="1" applyBorder="1"/>
    <xf numFmtId="0" fontId="4" fillId="0" borderId="15" xfId="0" applyFont="1" applyBorder="1"/>
    <xf numFmtId="0" fontId="4" fillId="0" borderId="0" xfId="0" applyFont="1" applyBorder="1"/>
    <xf numFmtId="0" fontId="4" fillId="0" borderId="16" xfId="0" applyFont="1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5" fillId="0" borderId="0" xfId="0" applyFont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3" xfId="0" applyFont="1" applyBorder="1" applyAlignment="1">
      <alignment horizontal="center"/>
    </xf>
    <xf numFmtId="0" fontId="0" fillId="0" borderId="4" xfId="0" applyFont="1" applyBorder="1" applyAlignment="1"/>
    <xf numFmtId="0" fontId="0" fillId="0" borderId="4" xfId="0" applyFont="1" applyBorder="1" applyAlignment="1">
      <alignment horizontal="right"/>
    </xf>
    <xf numFmtId="0" fontId="0" fillId="0" borderId="4" xfId="0" applyBorder="1" applyAlignment="1"/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8" xfId="0" applyBorder="1" applyAlignment="1"/>
    <xf numFmtId="0" fontId="0" fillId="0" borderId="4" xfId="0" applyFill="1" applyBorder="1"/>
    <xf numFmtId="0" fontId="0" fillId="0" borderId="4" xfId="0" applyFill="1" applyBorder="1" applyAlignment="1"/>
    <xf numFmtId="0" fontId="0" fillId="0" borderId="4" xfId="0" applyFill="1" applyBorder="1" applyAlignment="1">
      <alignment horizontal="right"/>
    </xf>
    <xf numFmtId="0" fontId="1" fillId="0" borderId="34" xfId="0" applyFont="1" applyBorder="1"/>
    <xf numFmtId="0" fontId="0" fillId="0" borderId="0" xfId="0" applyFill="1" applyBorder="1"/>
    <xf numFmtId="9" fontId="0" fillId="0" borderId="0" xfId="0" applyNumberFormat="1" applyFill="1" applyBorder="1"/>
    <xf numFmtId="0" fontId="1" fillId="0" borderId="0" xfId="0" applyFont="1" applyFill="1" applyBorder="1"/>
    <xf numFmtId="0" fontId="0" fillId="0" borderId="35" xfId="0" applyBorder="1"/>
    <xf numFmtId="0" fontId="8" fillId="0" borderId="35" xfId="0" applyFont="1" applyFill="1" applyBorder="1"/>
    <xf numFmtId="0" fontId="8" fillId="0" borderId="35" xfId="0" applyFont="1" applyBorder="1"/>
    <xf numFmtId="0" fontId="0" fillId="0" borderId="0" xfId="0" applyBorder="1" applyAlignment="1">
      <alignment horizontal="right"/>
    </xf>
    <xf numFmtId="0" fontId="0" fillId="0" borderId="34" xfId="0" applyBorder="1"/>
    <xf numFmtId="0" fontId="9" fillId="0" borderId="4" xfId="0" applyFont="1" applyBorder="1"/>
    <xf numFmtId="0" fontId="1" fillId="0" borderId="6" xfId="0" applyFont="1" applyBorder="1"/>
    <xf numFmtId="14" fontId="0" fillId="0" borderId="7" xfId="0" applyNumberForma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7" xfId="0" applyBorder="1"/>
    <xf numFmtId="0" fontId="5" fillId="0" borderId="15" xfId="0" applyFont="1" applyBorder="1"/>
    <xf numFmtId="1" fontId="0" fillId="0" borderId="0" xfId="0" applyNumberForma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7</xdr:col>
      <xdr:colOff>1009650</xdr:colOff>
      <xdr:row>54</xdr:row>
      <xdr:rowOff>123825</xdr:rowOff>
    </xdr:to>
    <xdr:pic>
      <xdr:nvPicPr>
        <xdr:cNvPr id="3" name="Picture 2" descr="C:\Users\Admin\AppData\Local\Microsoft\Windows\Temporary Internet Files\Content.Word\Jayraj_Letterpad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6950"/>
          <a:ext cx="60198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200025</xdr:colOff>
      <xdr:row>0</xdr:row>
      <xdr:rowOff>762000</xdr:rowOff>
    </xdr:to>
    <xdr:pic>
      <xdr:nvPicPr>
        <xdr:cNvPr id="4" name="Picture 3" descr="C:\Users\Admin\Downloads\Logo-1.jpeg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8096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209550</xdr:colOff>
      <xdr:row>0</xdr:row>
      <xdr:rowOff>0</xdr:rowOff>
    </xdr:from>
    <xdr:to>
      <xdr:col>8</xdr:col>
      <xdr:colOff>9524</xdr:colOff>
      <xdr:row>1</xdr:row>
      <xdr:rowOff>0</xdr:rowOff>
    </xdr:to>
    <xdr:pic>
      <xdr:nvPicPr>
        <xdr:cNvPr id="5" name="Picture 4" descr="C:\Users\Admin\Downloads\Logo-2.jpeg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19150" y="0"/>
          <a:ext cx="5219699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>
      <selection activeCell="I6" sqref="I6"/>
    </sheetView>
  </sheetViews>
  <sheetFormatPr defaultRowHeight="15"/>
  <cols>
    <col min="2" max="2" width="11.5703125" customWidth="1"/>
    <col min="5" max="5" width="7.5703125" customWidth="1"/>
    <col min="6" max="6" width="19.42578125" customWidth="1"/>
    <col min="8" max="8" width="15.28515625" customWidth="1"/>
    <col min="12" max="12" width="45.5703125" customWidth="1"/>
    <col min="14" max="14" width="8" customWidth="1"/>
    <col min="16" max="16" width="16.140625" customWidth="1"/>
    <col min="17" max="18" width="9.140625" hidden="1" customWidth="1"/>
    <col min="19" max="19" width="9.140625" customWidth="1"/>
  </cols>
  <sheetData>
    <row r="1" spans="1:18" ht="60.75" customHeight="1" thickBot="1"/>
    <row r="2" spans="1:18" ht="15.75" thickBot="1">
      <c r="A2" s="71" t="s">
        <v>52</v>
      </c>
      <c r="B2" s="72"/>
      <c r="C2" s="72"/>
      <c r="D2" s="72"/>
      <c r="E2" s="72"/>
      <c r="F2" s="72"/>
      <c r="G2" s="72"/>
      <c r="H2" s="73"/>
      <c r="K2" s="34"/>
      <c r="L2" s="35"/>
      <c r="M2" s="35"/>
      <c r="N2" s="35"/>
      <c r="O2" s="57"/>
      <c r="P2" s="58"/>
      <c r="Q2" s="35"/>
      <c r="R2" s="36"/>
    </row>
    <row r="3" spans="1:18">
      <c r="A3" s="18" t="s">
        <v>1</v>
      </c>
      <c r="B3" s="10"/>
      <c r="C3" s="10"/>
      <c r="D3" s="10"/>
      <c r="E3" s="10"/>
      <c r="F3" s="10"/>
      <c r="G3" s="21" t="s">
        <v>0</v>
      </c>
      <c r="H3" s="20">
        <v>46030</v>
      </c>
      <c r="K3" s="18"/>
      <c r="L3" s="10"/>
      <c r="M3" s="10"/>
      <c r="N3" s="10"/>
      <c r="O3" s="10"/>
      <c r="P3" s="10"/>
      <c r="Q3" s="21"/>
      <c r="R3" s="20"/>
    </row>
    <row r="4" spans="1:18">
      <c r="A4" s="9" t="s">
        <v>50</v>
      </c>
      <c r="B4" s="10"/>
      <c r="C4" s="10"/>
      <c r="D4" s="10"/>
      <c r="E4" s="10"/>
      <c r="F4" s="10"/>
      <c r="G4" s="10"/>
      <c r="H4" s="11"/>
      <c r="K4" s="9"/>
      <c r="L4" s="10"/>
      <c r="M4" s="10"/>
      <c r="N4" s="10"/>
      <c r="O4" s="10"/>
      <c r="P4" s="10"/>
      <c r="Q4" s="10"/>
      <c r="R4" s="11"/>
    </row>
    <row r="5" spans="1:18">
      <c r="A5" s="9" t="s">
        <v>51</v>
      </c>
      <c r="B5" s="10"/>
      <c r="C5" s="10"/>
      <c r="D5" s="10"/>
      <c r="E5" s="10"/>
      <c r="F5" s="10"/>
      <c r="G5" s="10"/>
      <c r="H5" s="11"/>
      <c r="K5" s="9"/>
      <c r="L5" s="10"/>
      <c r="M5" s="10"/>
      <c r="N5" s="10"/>
      <c r="O5" s="10"/>
      <c r="P5" s="10"/>
      <c r="Q5" s="10"/>
      <c r="R5" s="11"/>
    </row>
    <row r="6" spans="1:18">
      <c r="A6" s="9" t="s">
        <v>48</v>
      </c>
      <c r="B6" s="10"/>
      <c r="C6" s="10"/>
      <c r="D6" s="10"/>
      <c r="E6" s="10"/>
      <c r="F6" s="10"/>
      <c r="G6" s="10"/>
      <c r="H6" s="11"/>
      <c r="K6" s="9"/>
      <c r="L6" s="10"/>
      <c r="M6" s="10"/>
      <c r="N6" s="10"/>
      <c r="O6" s="10"/>
      <c r="P6" s="10"/>
      <c r="Q6" s="10"/>
      <c r="R6" s="11"/>
    </row>
    <row r="7" spans="1:18">
      <c r="A7" s="74" t="s">
        <v>49</v>
      </c>
      <c r="B7" s="75"/>
      <c r="C7" s="75"/>
      <c r="D7" s="75"/>
      <c r="E7" s="75"/>
      <c r="F7" s="75"/>
      <c r="G7" s="75"/>
      <c r="H7" s="76"/>
      <c r="K7" s="74"/>
      <c r="L7" s="75"/>
      <c r="M7" s="75"/>
      <c r="N7" s="75"/>
      <c r="O7" s="75"/>
      <c r="P7" s="75"/>
      <c r="Q7" s="75"/>
      <c r="R7" s="76"/>
    </row>
    <row r="8" spans="1:18" ht="5.25" customHeight="1" thickBot="1">
      <c r="A8" s="9"/>
      <c r="B8" s="10"/>
      <c r="C8" s="10"/>
      <c r="D8" s="10"/>
      <c r="E8" s="10"/>
      <c r="F8" s="10"/>
      <c r="G8" s="10"/>
      <c r="H8" s="11"/>
      <c r="K8" s="9"/>
      <c r="L8" s="10"/>
      <c r="M8" s="10"/>
      <c r="N8" s="10"/>
      <c r="O8" s="10"/>
      <c r="P8" s="10"/>
      <c r="Q8" s="10"/>
      <c r="R8" s="11"/>
    </row>
    <row r="9" spans="1:18" ht="15.75" thickBot="1">
      <c r="A9" s="71" t="s">
        <v>2</v>
      </c>
      <c r="B9" s="72"/>
      <c r="C9" s="72"/>
      <c r="D9" s="72"/>
      <c r="E9" s="72"/>
      <c r="F9" s="72"/>
      <c r="G9" s="72"/>
      <c r="H9" s="73"/>
      <c r="K9" s="59"/>
      <c r="L9" s="37"/>
      <c r="M9" s="37"/>
      <c r="N9" s="37"/>
      <c r="O9" s="37"/>
      <c r="P9" s="37"/>
      <c r="Q9" s="10"/>
      <c r="R9" s="11"/>
    </row>
    <row r="10" spans="1:18">
      <c r="A10" s="5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77" t="s">
        <v>9</v>
      </c>
      <c r="H10" s="78"/>
      <c r="K10" s="60"/>
      <c r="L10" s="32"/>
      <c r="M10" s="38"/>
      <c r="N10" s="39"/>
      <c r="O10" s="39"/>
      <c r="P10" s="39"/>
      <c r="Q10" s="10"/>
      <c r="R10" s="11"/>
    </row>
    <row r="11" spans="1:18">
      <c r="A11" s="3"/>
      <c r="B11" s="1"/>
      <c r="C11" s="1"/>
      <c r="D11" s="1"/>
      <c r="E11" s="1"/>
      <c r="F11" s="1"/>
      <c r="G11" s="108"/>
      <c r="H11" s="109"/>
      <c r="K11" s="3"/>
      <c r="L11" s="1"/>
      <c r="M11" s="40"/>
      <c r="N11" s="33"/>
      <c r="O11" s="33"/>
      <c r="P11" s="41"/>
      <c r="Q11" s="10"/>
      <c r="R11" s="11"/>
    </row>
    <row r="12" spans="1:18">
      <c r="A12" s="3">
        <v>2</v>
      </c>
      <c r="B12" s="1"/>
      <c r="C12" s="1" t="s">
        <v>45</v>
      </c>
      <c r="D12" s="1" t="s">
        <v>44</v>
      </c>
      <c r="E12" s="1">
        <v>2704</v>
      </c>
      <c r="F12" s="1">
        <v>1</v>
      </c>
      <c r="G12" s="108">
        <f>E12*F12</f>
        <v>2704</v>
      </c>
      <c r="H12" s="109"/>
      <c r="K12" s="3"/>
      <c r="L12" s="1"/>
      <c r="M12" s="40"/>
      <c r="N12" s="33"/>
      <c r="O12" s="33"/>
      <c r="P12" s="33"/>
      <c r="Q12" s="10"/>
      <c r="R12" s="11"/>
    </row>
    <row r="13" spans="1:18" ht="15.75" thickBot="1">
      <c r="A13" s="116" t="s">
        <v>10</v>
      </c>
      <c r="B13" s="117"/>
      <c r="C13" s="117"/>
      <c r="D13" s="117"/>
      <c r="E13" s="117"/>
      <c r="F13" s="118"/>
      <c r="G13" s="104">
        <f>SUM(G11:G12)</f>
        <v>2704</v>
      </c>
      <c r="H13" s="105"/>
      <c r="K13" s="61"/>
      <c r="L13" s="42"/>
      <c r="M13" s="43"/>
      <c r="N13" s="41"/>
      <c r="O13" s="41"/>
      <c r="P13" s="41"/>
      <c r="Q13" s="10"/>
      <c r="R13" s="11"/>
    </row>
    <row r="14" spans="1:18" ht="15.75" thickBot="1">
      <c r="A14" s="9"/>
      <c r="B14" s="10"/>
      <c r="C14" s="10"/>
      <c r="D14" s="10"/>
      <c r="E14" s="10"/>
      <c r="F14" s="10"/>
      <c r="G14" s="10"/>
      <c r="H14" s="11"/>
      <c r="K14" s="3"/>
      <c r="L14" s="1"/>
      <c r="M14" s="40"/>
      <c r="N14" s="33"/>
      <c r="O14" s="33"/>
      <c r="P14" s="41"/>
      <c r="Q14" s="10"/>
      <c r="R14" s="11"/>
    </row>
    <row r="15" spans="1:18" ht="15.75" thickBot="1">
      <c r="A15" s="71" t="s">
        <v>11</v>
      </c>
      <c r="B15" s="72"/>
      <c r="C15" s="72"/>
      <c r="D15" s="72"/>
      <c r="E15" s="72"/>
      <c r="F15" s="72"/>
      <c r="G15" s="72"/>
      <c r="H15" s="73"/>
      <c r="K15" s="3"/>
      <c r="L15" s="1"/>
      <c r="M15" s="40"/>
      <c r="N15" s="33"/>
      <c r="O15" s="33"/>
      <c r="P15" s="33"/>
      <c r="Q15" s="10"/>
      <c r="R15" s="11"/>
    </row>
    <row r="16" spans="1:18">
      <c r="A16" s="28" t="s">
        <v>12</v>
      </c>
      <c r="B16" s="29" t="s">
        <v>13</v>
      </c>
      <c r="C16" s="112" t="s">
        <v>46</v>
      </c>
      <c r="D16" s="112"/>
      <c r="E16" s="112"/>
      <c r="F16" s="29"/>
      <c r="G16" s="112"/>
      <c r="H16" s="113"/>
      <c r="K16" s="3"/>
      <c r="L16" s="1"/>
      <c r="M16" s="40"/>
      <c r="N16" s="33"/>
      <c r="O16" s="33"/>
      <c r="P16" s="41"/>
      <c r="Q16" s="10"/>
      <c r="R16" s="11"/>
    </row>
    <row r="17" spans="1:18">
      <c r="A17" s="3">
        <v>1</v>
      </c>
      <c r="B17" s="1" t="s">
        <v>14</v>
      </c>
      <c r="C17" s="114" t="s">
        <v>42</v>
      </c>
      <c r="D17" s="114"/>
      <c r="E17" s="114"/>
      <c r="F17" s="2"/>
      <c r="G17" s="114"/>
      <c r="H17" s="115"/>
      <c r="K17" s="3"/>
      <c r="L17" s="1"/>
      <c r="M17" s="40"/>
      <c r="N17" s="33"/>
      <c r="O17" s="33"/>
      <c r="P17" s="33"/>
      <c r="Q17" s="10"/>
      <c r="R17" s="11"/>
    </row>
    <row r="18" spans="1:18">
      <c r="A18" s="3">
        <v>2</v>
      </c>
      <c r="B18" s="1" t="s">
        <v>10</v>
      </c>
      <c r="C18" s="108">
        <v>2704</v>
      </c>
      <c r="D18" s="108"/>
      <c r="E18" s="108"/>
      <c r="F18" s="8"/>
      <c r="G18" s="108"/>
      <c r="H18" s="109"/>
      <c r="K18" s="3"/>
      <c r="L18" s="1"/>
      <c r="M18" s="40"/>
      <c r="N18" s="33"/>
      <c r="O18" s="33"/>
      <c r="P18" s="33"/>
      <c r="Q18" s="10"/>
      <c r="R18" s="11"/>
    </row>
    <row r="19" spans="1:18">
      <c r="A19" s="3">
        <v>3</v>
      </c>
      <c r="B19" s="1" t="s">
        <v>15</v>
      </c>
      <c r="C19" s="108">
        <v>500</v>
      </c>
      <c r="D19" s="108"/>
      <c r="E19" s="108"/>
      <c r="F19" s="8"/>
      <c r="G19" s="108"/>
      <c r="H19" s="109"/>
      <c r="K19" s="62"/>
      <c r="L19" s="44"/>
      <c r="M19" s="45"/>
      <c r="N19" s="33"/>
      <c r="O19" s="33"/>
      <c r="P19" s="33"/>
      <c r="Q19" s="10"/>
      <c r="R19" s="11"/>
    </row>
    <row r="20" spans="1:18">
      <c r="A20" s="3">
        <v>4</v>
      </c>
      <c r="B20" s="1" t="s">
        <v>16</v>
      </c>
      <c r="C20" s="108">
        <f>C18*C19</f>
        <v>1352000</v>
      </c>
      <c r="D20" s="108"/>
      <c r="E20" s="108"/>
      <c r="F20" s="8"/>
      <c r="G20" s="110"/>
      <c r="H20" s="111"/>
      <c r="K20" s="62"/>
      <c r="L20" s="44"/>
      <c r="M20" s="45"/>
      <c r="N20" s="46"/>
      <c r="O20" s="46"/>
      <c r="P20" s="46"/>
      <c r="Q20" s="10"/>
      <c r="R20" s="11"/>
    </row>
    <row r="21" spans="1:18">
      <c r="A21" s="3">
        <v>5</v>
      </c>
      <c r="B21" s="1" t="s">
        <v>39</v>
      </c>
      <c r="C21" s="108">
        <f>C20*18%</f>
        <v>243360</v>
      </c>
      <c r="D21" s="108"/>
      <c r="E21" s="108"/>
      <c r="F21" s="32"/>
      <c r="G21" s="108"/>
      <c r="H21" s="109"/>
      <c r="K21" s="9"/>
      <c r="L21" s="10"/>
      <c r="M21" s="10"/>
      <c r="N21" s="10"/>
      <c r="O21" s="21"/>
      <c r="P21" s="47"/>
      <c r="Q21" s="10"/>
      <c r="R21" s="11"/>
    </row>
    <row r="22" spans="1:18" ht="15.75" thickBot="1">
      <c r="A22" s="7">
        <v>6</v>
      </c>
      <c r="B22" s="6" t="s">
        <v>17</v>
      </c>
      <c r="C22" s="104">
        <f>SUM(C20:C21)</f>
        <v>1595360</v>
      </c>
      <c r="D22" s="104"/>
      <c r="E22" s="104"/>
      <c r="F22" s="30"/>
      <c r="G22" s="104"/>
      <c r="H22" s="105"/>
      <c r="K22" s="63"/>
      <c r="L22" s="48"/>
      <c r="M22" s="48"/>
      <c r="N22" s="49"/>
      <c r="O22" s="21"/>
      <c r="P22" s="47"/>
      <c r="Q22" s="10"/>
      <c r="R22" s="11"/>
    </row>
    <row r="23" spans="1:18" ht="12" customHeight="1" thickBot="1">
      <c r="A23" s="9"/>
      <c r="B23" s="10"/>
      <c r="C23" s="106"/>
      <c r="D23" s="106"/>
      <c r="E23" s="106"/>
      <c r="F23" s="10"/>
      <c r="G23" s="106"/>
      <c r="H23" s="107"/>
      <c r="K23" s="63"/>
      <c r="L23" s="48"/>
      <c r="M23" s="10"/>
      <c r="N23" s="10"/>
      <c r="O23" s="50"/>
      <c r="P23" s="47"/>
      <c r="Q23" s="10"/>
      <c r="R23" s="11"/>
    </row>
    <row r="24" spans="1:18" ht="16.5" thickBot="1">
      <c r="A24" s="19" t="s">
        <v>18</v>
      </c>
      <c r="B24" s="10"/>
      <c r="C24" s="10"/>
      <c r="D24" s="10"/>
      <c r="E24" s="10"/>
      <c r="F24" s="10"/>
      <c r="G24" s="10"/>
      <c r="H24" s="11"/>
      <c r="K24" s="64"/>
      <c r="L24" s="51"/>
      <c r="M24" s="51"/>
      <c r="N24" s="51"/>
      <c r="O24" s="52"/>
      <c r="P24" s="53"/>
      <c r="Q24" s="10"/>
      <c r="R24" s="11"/>
    </row>
    <row r="25" spans="1:18" ht="13.5" customHeight="1">
      <c r="A25" s="87">
        <v>1</v>
      </c>
      <c r="B25" s="17" t="s">
        <v>23</v>
      </c>
      <c r="C25" s="15"/>
      <c r="D25" s="16"/>
      <c r="E25" s="98" t="s">
        <v>19</v>
      </c>
      <c r="F25" s="99"/>
      <c r="G25" s="99"/>
      <c r="H25" s="100"/>
      <c r="K25" s="9"/>
      <c r="L25" s="54"/>
      <c r="M25" s="10"/>
      <c r="N25" s="10"/>
      <c r="O25" s="10"/>
      <c r="P25" s="55"/>
      <c r="Q25" s="10"/>
      <c r="R25" s="11"/>
    </row>
    <row r="26" spans="1:18" ht="12.75" customHeight="1">
      <c r="A26" s="88"/>
      <c r="B26" s="18" t="s">
        <v>22</v>
      </c>
      <c r="C26" s="9"/>
      <c r="D26" s="11"/>
      <c r="E26" s="101" t="s">
        <v>20</v>
      </c>
      <c r="F26" s="102"/>
      <c r="G26" s="102"/>
      <c r="H26" s="103"/>
      <c r="K26" s="9"/>
      <c r="L26" s="10"/>
      <c r="M26" s="10"/>
      <c r="N26" s="10"/>
      <c r="O26" s="56"/>
      <c r="P26" s="56"/>
      <c r="Q26" s="10"/>
      <c r="R26" s="11"/>
    </row>
    <row r="27" spans="1:18" ht="12.75" customHeight="1" thickBot="1">
      <c r="A27" s="89"/>
      <c r="B27" s="12"/>
      <c r="C27" s="12"/>
      <c r="D27" s="14"/>
      <c r="E27" s="92" t="s">
        <v>21</v>
      </c>
      <c r="F27" s="93"/>
      <c r="G27" s="93"/>
      <c r="H27" s="94"/>
      <c r="K27" s="9"/>
      <c r="L27" s="10"/>
      <c r="M27" s="10"/>
      <c r="N27" s="10"/>
      <c r="O27" s="10"/>
      <c r="P27" s="10"/>
      <c r="Q27" s="10"/>
      <c r="R27" s="11"/>
    </row>
    <row r="28" spans="1:18">
      <c r="A28" s="85">
        <v>2</v>
      </c>
      <c r="B28" s="85" t="s">
        <v>43</v>
      </c>
      <c r="C28" s="79" t="s">
        <v>41</v>
      </c>
      <c r="D28" s="81"/>
      <c r="E28" s="95" t="s">
        <v>25</v>
      </c>
      <c r="F28" s="96"/>
      <c r="G28" s="96"/>
      <c r="H28" s="97"/>
      <c r="K28" s="9"/>
      <c r="L28" s="10"/>
      <c r="M28" s="10"/>
      <c r="N28" s="10"/>
      <c r="O28" s="10"/>
      <c r="P28" s="10"/>
      <c r="Q28" s="10"/>
      <c r="R28" s="11"/>
    </row>
    <row r="29" spans="1:18" ht="12.75" customHeight="1" thickBot="1">
      <c r="A29" s="86"/>
      <c r="B29" s="86"/>
      <c r="C29" s="82" t="s">
        <v>24</v>
      </c>
      <c r="D29" s="84"/>
      <c r="E29" s="82" t="s">
        <v>26</v>
      </c>
      <c r="F29" s="83"/>
      <c r="G29" s="83"/>
      <c r="H29" s="84"/>
      <c r="K29" s="9"/>
      <c r="L29" s="66"/>
      <c r="M29" s="10"/>
      <c r="N29" s="10"/>
      <c r="O29" s="10"/>
      <c r="P29" s="10"/>
      <c r="Q29" s="10"/>
      <c r="R29" s="11"/>
    </row>
    <row r="30" spans="1:18">
      <c r="A30" s="85">
        <v>3</v>
      </c>
      <c r="B30" s="90" t="s">
        <v>27</v>
      </c>
      <c r="C30" s="67" t="s">
        <v>28</v>
      </c>
      <c r="D30" s="68"/>
      <c r="E30" s="98" t="s">
        <v>29</v>
      </c>
      <c r="F30" s="99"/>
      <c r="G30" s="99"/>
      <c r="H30" s="100"/>
      <c r="K30" s="9"/>
      <c r="L30" s="10"/>
      <c r="M30" s="10"/>
      <c r="N30" s="10"/>
      <c r="O30" s="10"/>
      <c r="P30" s="10"/>
      <c r="Q30" s="10"/>
      <c r="R30" s="11"/>
    </row>
    <row r="31" spans="1:18" ht="12" customHeight="1" thickBot="1">
      <c r="A31" s="86"/>
      <c r="B31" s="91"/>
      <c r="C31" s="69"/>
      <c r="D31" s="70"/>
      <c r="E31" s="92" t="s">
        <v>30</v>
      </c>
      <c r="F31" s="93"/>
      <c r="G31" s="93"/>
      <c r="H31" s="94"/>
      <c r="K31" s="9"/>
      <c r="L31" s="10"/>
      <c r="M31" s="10"/>
      <c r="N31" s="10"/>
      <c r="O31" s="10"/>
      <c r="P31" s="10"/>
      <c r="Q31" s="10"/>
      <c r="R31" s="11"/>
    </row>
    <row r="32" spans="1:18" ht="9" customHeight="1">
      <c r="A32" s="85">
        <v>4</v>
      </c>
      <c r="B32" s="85" t="s">
        <v>31</v>
      </c>
      <c r="C32" s="67" t="s">
        <v>46</v>
      </c>
      <c r="D32" s="68"/>
      <c r="E32" s="79" t="s">
        <v>47</v>
      </c>
      <c r="F32" s="80"/>
      <c r="G32" s="80"/>
      <c r="H32" s="81"/>
      <c r="K32" s="9"/>
      <c r="L32" s="10"/>
      <c r="M32" s="10"/>
      <c r="N32" s="10"/>
      <c r="O32" s="10"/>
      <c r="P32" s="10"/>
      <c r="Q32" s="10"/>
      <c r="R32" s="11"/>
    </row>
    <row r="33" spans="1:18" ht="9.75" customHeight="1" thickBot="1">
      <c r="A33" s="86"/>
      <c r="B33" s="86"/>
      <c r="C33" s="69"/>
      <c r="D33" s="70"/>
      <c r="E33" s="82"/>
      <c r="F33" s="83"/>
      <c r="G33" s="83"/>
      <c r="H33" s="84"/>
      <c r="K33" s="9"/>
      <c r="L33" s="10"/>
      <c r="M33" s="10"/>
      <c r="N33" s="10"/>
      <c r="O33" s="10"/>
      <c r="P33" s="10"/>
      <c r="Q33" s="10"/>
      <c r="R33" s="11"/>
    </row>
    <row r="34" spans="1:18" ht="8.25" customHeight="1">
      <c r="A34" s="9"/>
      <c r="B34" s="10"/>
      <c r="C34" s="10"/>
      <c r="D34" s="10"/>
      <c r="E34" s="10"/>
      <c r="F34" s="10"/>
      <c r="G34" s="10"/>
      <c r="H34" s="11"/>
      <c r="K34" s="9"/>
      <c r="L34" s="10"/>
      <c r="M34" s="10"/>
      <c r="N34" s="10"/>
      <c r="O34" s="10"/>
      <c r="P34" s="10"/>
      <c r="Q34" s="10"/>
      <c r="R34" s="11"/>
    </row>
    <row r="35" spans="1:18">
      <c r="A35" s="19" t="s">
        <v>32</v>
      </c>
      <c r="B35" s="10"/>
      <c r="C35" s="10"/>
      <c r="D35" s="10"/>
      <c r="E35" s="10"/>
      <c r="F35" s="10"/>
      <c r="G35" s="10"/>
      <c r="H35" s="11"/>
      <c r="K35" s="19"/>
      <c r="L35" s="10"/>
      <c r="M35" s="10"/>
      <c r="N35" s="10"/>
      <c r="O35" s="10"/>
      <c r="P35" s="10"/>
      <c r="Q35" s="10"/>
      <c r="R35" s="11"/>
    </row>
    <row r="36" spans="1:18">
      <c r="A36" s="25" t="s">
        <v>53</v>
      </c>
      <c r="B36" s="26"/>
      <c r="C36" s="26"/>
      <c r="D36" s="26"/>
      <c r="E36" s="26"/>
      <c r="F36" s="26"/>
      <c r="G36" s="26"/>
      <c r="H36" s="27"/>
      <c r="K36" s="25"/>
      <c r="L36" s="26"/>
      <c r="M36" s="26"/>
      <c r="N36" s="26"/>
      <c r="O36" s="26"/>
      <c r="P36" s="26"/>
      <c r="Q36" s="26"/>
      <c r="R36" s="27"/>
    </row>
    <row r="37" spans="1:18">
      <c r="A37" s="25" t="s">
        <v>54</v>
      </c>
      <c r="B37" s="26"/>
      <c r="C37" s="26"/>
      <c r="D37" s="26"/>
      <c r="E37" s="26"/>
      <c r="F37" s="26"/>
      <c r="G37" s="26"/>
      <c r="H37" s="27"/>
      <c r="K37" s="25"/>
      <c r="L37" s="26"/>
      <c r="M37" s="26"/>
      <c r="N37" s="26"/>
      <c r="O37" s="26"/>
      <c r="P37" s="26"/>
      <c r="Q37" s="26"/>
      <c r="R37" s="27"/>
    </row>
    <row r="38" spans="1:18" ht="12.75" customHeight="1">
      <c r="A38" s="25" t="s">
        <v>55</v>
      </c>
      <c r="B38" s="26"/>
      <c r="C38" s="26"/>
      <c r="D38" s="26"/>
      <c r="E38" s="26"/>
      <c r="F38" s="26"/>
      <c r="G38" s="26"/>
      <c r="H38" s="27"/>
      <c r="K38" s="25"/>
      <c r="L38" s="26"/>
      <c r="M38" s="26"/>
      <c r="N38" s="26"/>
      <c r="O38" s="26"/>
      <c r="P38" s="26"/>
      <c r="Q38" s="26"/>
      <c r="R38" s="27"/>
    </row>
    <row r="39" spans="1:18" ht="14.25" customHeight="1">
      <c r="A39" s="25" t="s">
        <v>56</v>
      </c>
      <c r="B39" s="10"/>
      <c r="C39" s="10"/>
      <c r="D39" s="10"/>
      <c r="E39" s="10"/>
      <c r="F39" s="10"/>
      <c r="G39" s="10"/>
      <c r="H39" s="11"/>
      <c r="K39" s="9"/>
      <c r="L39" s="10"/>
      <c r="M39" s="10"/>
      <c r="N39" s="10"/>
      <c r="O39" s="10"/>
      <c r="P39" s="10"/>
      <c r="Q39" s="10"/>
      <c r="R39" s="11"/>
    </row>
    <row r="40" spans="1:18">
      <c r="A40" s="25" t="s">
        <v>57</v>
      </c>
      <c r="B40" s="26"/>
      <c r="C40" s="26"/>
      <c r="D40" s="10"/>
      <c r="E40" s="10"/>
      <c r="F40" s="10"/>
      <c r="G40" s="10"/>
      <c r="H40" s="11"/>
      <c r="K40" s="25"/>
      <c r="L40" s="26"/>
      <c r="M40" s="26"/>
      <c r="N40" s="10"/>
      <c r="O40" s="10"/>
      <c r="P40" s="10"/>
      <c r="Q40" s="10"/>
      <c r="R40" s="11"/>
    </row>
    <row r="41" spans="1:18" ht="12.75" customHeight="1">
      <c r="A41" s="25" t="s">
        <v>58</v>
      </c>
      <c r="B41" s="10"/>
      <c r="C41" s="10"/>
      <c r="D41" s="10"/>
      <c r="E41" s="10"/>
      <c r="F41" s="10"/>
      <c r="G41" s="10"/>
      <c r="H41" s="11"/>
      <c r="K41" s="9"/>
      <c r="L41" s="10"/>
      <c r="M41" s="10"/>
      <c r="N41" s="10"/>
      <c r="O41" s="10"/>
      <c r="P41" s="10"/>
      <c r="Q41" s="10"/>
      <c r="R41" s="11"/>
    </row>
    <row r="42" spans="1:18">
      <c r="A42" s="19" t="s">
        <v>33</v>
      </c>
      <c r="B42" s="10"/>
      <c r="C42" s="10"/>
      <c r="D42" s="10"/>
      <c r="E42" s="10"/>
      <c r="F42" s="10"/>
      <c r="G42" s="10"/>
      <c r="H42" s="11"/>
      <c r="K42" s="19"/>
      <c r="L42" s="10"/>
      <c r="M42" s="10"/>
      <c r="N42" s="10"/>
      <c r="O42" s="10"/>
      <c r="P42" s="10"/>
      <c r="Q42" s="10"/>
      <c r="R42" s="11"/>
    </row>
    <row r="43" spans="1:18">
      <c r="A43" s="22" t="s">
        <v>59</v>
      </c>
      <c r="B43" s="23"/>
      <c r="C43" s="23"/>
      <c r="D43" s="23"/>
      <c r="E43" s="23"/>
      <c r="F43" s="23"/>
      <c r="G43" s="23"/>
      <c r="H43" s="24"/>
      <c r="K43" s="22"/>
      <c r="L43" s="23"/>
      <c r="M43" s="23"/>
      <c r="N43" s="23"/>
      <c r="O43" s="23"/>
      <c r="P43" s="23"/>
      <c r="Q43" s="23"/>
      <c r="R43" s="24"/>
    </row>
    <row r="44" spans="1:18">
      <c r="A44" s="22" t="s">
        <v>34</v>
      </c>
      <c r="B44" s="23"/>
      <c r="C44" s="23"/>
      <c r="D44" s="23"/>
      <c r="E44" s="23"/>
      <c r="F44" s="23"/>
      <c r="G44" s="23"/>
      <c r="H44" s="24"/>
      <c r="K44" s="22"/>
      <c r="L44" s="23"/>
      <c r="M44" s="23"/>
      <c r="N44" s="23"/>
      <c r="O44" s="23"/>
      <c r="P44" s="23"/>
      <c r="Q44" s="23"/>
      <c r="R44" s="24"/>
    </row>
    <row r="45" spans="1:18">
      <c r="A45" s="22" t="s">
        <v>60</v>
      </c>
      <c r="B45" s="23"/>
      <c r="C45" s="23"/>
      <c r="D45" s="23"/>
      <c r="E45" s="23"/>
      <c r="F45" s="23"/>
      <c r="G45" s="23"/>
      <c r="H45" s="24"/>
      <c r="K45" s="22"/>
      <c r="L45" s="23"/>
      <c r="M45" s="23"/>
      <c r="N45" s="23"/>
      <c r="O45" s="23"/>
      <c r="P45" s="23"/>
      <c r="Q45" s="23"/>
      <c r="R45" s="24"/>
    </row>
    <row r="46" spans="1:18">
      <c r="A46" s="22" t="s">
        <v>35</v>
      </c>
      <c r="B46" s="23"/>
      <c r="C46" s="23"/>
      <c r="D46" s="23"/>
      <c r="E46" s="23"/>
      <c r="F46" s="23"/>
      <c r="G46" s="23"/>
      <c r="H46" s="24"/>
      <c r="K46" s="22"/>
      <c r="L46" s="23"/>
      <c r="M46" s="23"/>
      <c r="N46" s="23"/>
      <c r="O46" s="23"/>
      <c r="P46" s="23"/>
      <c r="Q46" s="23"/>
      <c r="R46" s="24"/>
    </row>
    <row r="47" spans="1:18" ht="9.75" customHeight="1">
      <c r="A47" s="9"/>
      <c r="B47" s="10"/>
      <c r="C47" s="10"/>
      <c r="D47" s="10"/>
      <c r="E47" s="10"/>
      <c r="F47" s="10"/>
      <c r="G47" s="10"/>
      <c r="H47" s="11"/>
      <c r="K47" s="9"/>
      <c r="L47" s="10"/>
      <c r="M47" s="10"/>
      <c r="N47" s="10"/>
      <c r="O47" s="10"/>
      <c r="P47" s="10"/>
      <c r="Q47" s="10"/>
      <c r="R47" s="11"/>
    </row>
    <row r="48" spans="1:18">
      <c r="A48" s="9" t="s">
        <v>36</v>
      </c>
      <c r="B48" s="10"/>
      <c r="C48" s="10"/>
      <c r="D48" s="10"/>
      <c r="E48" s="10"/>
      <c r="F48" s="10"/>
      <c r="G48" s="10"/>
      <c r="H48" s="11"/>
      <c r="K48" s="9"/>
      <c r="L48" s="10"/>
      <c r="M48" s="10"/>
      <c r="N48" s="10"/>
      <c r="O48" s="10"/>
      <c r="P48" s="10"/>
      <c r="Q48" s="10"/>
      <c r="R48" s="11"/>
    </row>
    <row r="49" spans="1:18" ht="16.5">
      <c r="A49" s="31" t="s">
        <v>37</v>
      </c>
      <c r="B49" s="10"/>
      <c r="C49" s="10"/>
      <c r="D49" s="10"/>
      <c r="E49" s="10"/>
      <c r="F49" s="10"/>
      <c r="G49" s="10"/>
      <c r="H49" s="11"/>
      <c r="K49" s="65"/>
      <c r="L49" s="10"/>
      <c r="M49" s="10"/>
      <c r="N49" s="10"/>
      <c r="O49" s="10"/>
      <c r="P49" s="10"/>
      <c r="Q49" s="10"/>
      <c r="R49" s="11"/>
    </row>
    <row r="50" spans="1:18">
      <c r="A50" s="18" t="s">
        <v>40</v>
      </c>
      <c r="B50" s="10"/>
      <c r="C50" s="10"/>
      <c r="D50" s="10"/>
      <c r="E50" s="10"/>
      <c r="F50" s="10"/>
      <c r="G50" s="10"/>
      <c r="H50" s="11"/>
      <c r="K50" s="18"/>
      <c r="L50" s="10"/>
      <c r="M50" s="10"/>
      <c r="N50" s="10"/>
      <c r="O50" s="10"/>
      <c r="P50" s="10"/>
      <c r="Q50" s="10"/>
      <c r="R50" s="11"/>
    </row>
    <row r="51" spans="1:18" ht="15.75" thickBot="1">
      <c r="A51" s="12" t="s">
        <v>38</v>
      </c>
      <c r="B51" s="13"/>
      <c r="C51" s="13"/>
      <c r="D51" s="13"/>
      <c r="E51" s="13"/>
      <c r="F51" s="13"/>
      <c r="G51" s="13"/>
      <c r="H51" s="14"/>
      <c r="K51" s="12"/>
      <c r="L51" s="13"/>
      <c r="M51" s="13"/>
      <c r="N51" s="13"/>
      <c r="O51" s="13"/>
      <c r="P51" s="13"/>
      <c r="Q51" s="13"/>
      <c r="R51" s="14"/>
    </row>
  </sheetData>
  <mergeCells count="45">
    <mergeCell ref="K7:R7"/>
    <mergeCell ref="A15:H15"/>
    <mergeCell ref="A9:H9"/>
    <mergeCell ref="A13:F13"/>
    <mergeCell ref="G11:H11"/>
    <mergeCell ref="G12:H12"/>
    <mergeCell ref="G13:H13"/>
    <mergeCell ref="C16:E16"/>
    <mergeCell ref="G16:H16"/>
    <mergeCell ref="C17:E17"/>
    <mergeCell ref="G17:H17"/>
    <mergeCell ref="C18:E18"/>
    <mergeCell ref="G18:H18"/>
    <mergeCell ref="C22:E22"/>
    <mergeCell ref="G22:H22"/>
    <mergeCell ref="C23:E23"/>
    <mergeCell ref="G23:H23"/>
    <mergeCell ref="C19:E19"/>
    <mergeCell ref="G19:H19"/>
    <mergeCell ref="C20:E20"/>
    <mergeCell ref="C21:E21"/>
    <mergeCell ref="G21:H21"/>
    <mergeCell ref="G20:H20"/>
    <mergeCell ref="C29:D29"/>
    <mergeCell ref="E28:H28"/>
    <mergeCell ref="E29:H29"/>
    <mergeCell ref="E30:H30"/>
    <mergeCell ref="E25:H25"/>
    <mergeCell ref="E26:H26"/>
    <mergeCell ref="C32:D33"/>
    <mergeCell ref="A2:H2"/>
    <mergeCell ref="A7:H7"/>
    <mergeCell ref="G10:H10"/>
    <mergeCell ref="E32:H33"/>
    <mergeCell ref="A28:A29"/>
    <mergeCell ref="A25:A27"/>
    <mergeCell ref="A30:A31"/>
    <mergeCell ref="B30:B31"/>
    <mergeCell ref="A32:A33"/>
    <mergeCell ref="B32:B33"/>
    <mergeCell ref="E31:H31"/>
    <mergeCell ref="C30:D31"/>
    <mergeCell ref="B28:B29"/>
    <mergeCell ref="E27:H27"/>
    <mergeCell ref="C28:D28"/>
  </mergeCells>
  <printOptions horizontalCentered="1"/>
  <pageMargins left="0" right="0" top="0.51181102362204722" bottom="0.19685039370078741" header="0.31496062992125984" footer="0.19685039370078741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2024-11-27T06:22:41Z</cp:lastPrinted>
  <dcterms:created xsi:type="dcterms:W3CDTF">2022-06-29T11:52:07Z</dcterms:created>
  <dcterms:modified xsi:type="dcterms:W3CDTF">2026-01-08T13:26:03Z</dcterms:modified>
</cp:coreProperties>
</file>